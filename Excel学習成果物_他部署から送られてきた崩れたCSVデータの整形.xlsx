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ocuments\excel学習\"/>
    </mc:Choice>
  </mc:AlternateContent>
  <xr:revisionPtr revIDLastSave="0" documentId="13_ncr:1_{DC15E1EB-A646-4B44-A65B-1846BA398249}" xr6:coauthVersionLast="47" xr6:coauthVersionMax="47" xr10:uidLastSave="{00000000-0000-0000-0000-000000000000}"/>
  <bookViews>
    <workbookView xWindow="-110" yWindow="-110" windowWidth="38620" windowHeight="21100" activeTab="1" xr2:uid="{00000000-000D-0000-FFFF-FFFF00000000}"/>
  </bookViews>
  <sheets>
    <sheet name="整形前" sheetId="1" r:id="rId1"/>
    <sheet name="整形後" sheetId="2" r:id="rId2"/>
  </sheets>
  <calcPr calcId="191029"/>
  <pivotCaches>
    <pivotCache cacheId="1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2" l="1"/>
  <c r="B6" i="2"/>
  <c r="D5" i="2"/>
  <c r="D6" i="2"/>
  <c r="D7" i="2"/>
  <c r="D4" i="2"/>
  <c r="B5" i="2"/>
  <c r="B4" i="2"/>
  <c r="C7" i="2"/>
  <c r="C6" i="2"/>
  <c r="C5" i="2"/>
  <c r="C4" i="2"/>
  <c r="A5" i="2"/>
  <c r="A6" i="2"/>
  <c r="A7" i="2"/>
  <c r="A4" i="2"/>
</calcChain>
</file>

<file path=xl/sharedStrings.xml><?xml version="1.0" encoding="utf-8"?>
<sst xmlns="http://schemas.openxmlformats.org/spreadsheetml/2006/main" count="61" uniqueCount="43">
  <si>
    <t>顧客名</t>
  </si>
  <si>
    <t>メールアドレス</t>
  </si>
  <si>
    <t>都道府県</t>
  </si>
  <si>
    <t>売上</t>
  </si>
  <si>
    <t>tanaka@example.com</t>
  </si>
  <si>
    <t>富山県</t>
  </si>
  <si>
    <t>東京都</t>
  </si>
  <si>
    <t>yamada@example.com</t>
  </si>
  <si>
    <t>osaka</t>
  </si>
  <si>
    <t>suzuki@@example.com</t>
  </si>
  <si>
    <t>愛知県</t>
  </si>
  <si>
    <t>元データ</t>
    <rPh sb="0" eb="1">
      <t>モト</t>
    </rPh>
    <phoneticPr fontId="2"/>
  </si>
  <si>
    <t>整形後データ</t>
    <rPh sb="0" eb="3">
      <t>セイケイゴ</t>
    </rPh>
    <phoneticPr fontId="2"/>
  </si>
  <si>
    <t>都道府県別売上</t>
    <rPh sb="0" eb="4">
      <t>トドウフケン</t>
    </rPh>
    <rPh sb="4" eb="5">
      <t>ベツ</t>
    </rPh>
    <rPh sb="5" eb="7">
      <t>ウリアゲ</t>
    </rPh>
    <phoneticPr fontId="2"/>
  </si>
  <si>
    <t>大阪府</t>
  </si>
  <si>
    <t>総計</t>
  </si>
  <si>
    <t>合計 / 売上</t>
  </si>
  <si>
    <t>売上</t>
    <phoneticPr fontId="2"/>
  </si>
  <si>
    <t>顧客数</t>
  </si>
  <si>
    <t>平均 / 売上</t>
  </si>
  <si>
    <t>都道府県別売上平均</t>
    <rPh sb="0" eb="4">
      <t>トドウフケン</t>
    </rPh>
    <rPh sb="4" eb="5">
      <t>ベツ</t>
    </rPh>
    <rPh sb="5" eb="9">
      <t>ウリアゲヘイキン</t>
    </rPh>
    <phoneticPr fontId="2"/>
  </si>
  <si>
    <t>顧客名ごとの顧客数</t>
    <rPh sb="0" eb="3">
      <t>コキャクメイ</t>
    </rPh>
    <rPh sb="6" eb="9">
      <t>コキャクスウ</t>
    </rPh>
    <phoneticPr fontId="2"/>
  </si>
  <si>
    <t>整形手順</t>
    <rPh sb="0" eb="4">
      <t>セイケイテジュン</t>
    </rPh>
    <phoneticPr fontId="2"/>
  </si>
  <si>
    <t>実施したこと</t>
    <rPh sb="0" eb="2">
      <t>ジッシ</t>
    </rPh>
    <phoneticPr fontId="2"/>
  </si>
  <si>
    <t>①顧客名が重複するデータについて、条件付き書式より重複データを確認し、不要なデータを削除</t>
    <rPh sb="1" eb="4">
      <t>コキャクメイ</t>
    </rPh>
    <rPh sb="5" eb="7">
      <t>チョウフク</t>
    </rPh>
    <rPh sb="17" eb="20">
      <t>ジョウケンツ</t>
    </rPh>
    <rPh sb="21" eb="23">
      <t>ショシキ</t>
    </rPh>
    <rPh sb="25" eb="27">
      <t>チョウフク</t>
    </rPh>
    <rPh sb="31" eb="33">
      <t>カクニン</t>
    </rPh>
    <rPh sb="35" eb="37">
      <t>フヨウ</t>
    </rPh>
    <rPh sb="42" eb="44">
      <t>サクジョ</t>
    </rPh>
    <phoneticPr fontId="2"/>
  </si>
  <si>
    <t>②顧客名を「姓+半角空白+名」の形式に統一</t>
    <rPh sb="1" eb="4">
      <t>コキャクメイ</t>
    </rPh>
    <rPh sb="6" eb="7">
      <t>セイ</t>
    </rPh>
    <rPh sb="8" eb="12">
      <t>ハンカククウハク</t>
    </rPh>
    <rPh sb="13" eb="14">
      <t>メイ</t>
    </rPh>
    <rPh sb="16" eb="18">
      <t>ケイシキ</t>
    </rPh>
    <rPh sb="19" eb="21">
      <t>トウイツ</t>
    </rPh>
    <phoneticPr fontId="2"/>
  </si>
  <si>
    <t>③メールアドレスの表現(.com欠落、@が複数あり)を「姓+"@example.com"」形式に統一</t>
    <rPh sb="9" eb="11">
      <t>ヒョウゲン</t>
    </rPh>
    <rPh sb="16" eb="18">
      <t>ケツラク</t>
    </rPh>
    <rPh sb="21" eb="23">
      <t>フクスウ</t>
    </rPh>
    <rPh sb="28" eb="29">
      <t>セイ</t>
    </rPh>
    <rPh sb="45" eb="47">
      <t>ケイシキ</t>
    </rPh>
    <rPh sb="48" eb="50">
      <t>トウイツ</t>
    </rPh>
    <phoneticPr fontId="2"/>
  </si>
  <si>
    <t>④都道府県がローマ字表記になっている個所を漢字表記へ統一</t>
    <rPh sb="1" eb="5">
      <t>トドウフケン</t>
    </rPh>
    <rPh sb="9" eb="10">
      <t>ジ</t>
    </rPh>
    <rPh sb="10" eb="12">
      <t>ヒョウキ</t>
    </rPh>
    <rPh sb="18" eb="20">
      <t>カショ</t>
    </rPh>
    <rPh sb="21" eb="25">
      <t>カンジヒョウキ</t>
    </rPh>
    <rPh sb="26" eb="28">
      <t>トウイツ</t>
    </rPh>
    <phoneticPr fontId="2"/>
  </si>
  <si>
    <t>⑤売上欄について、カンマを取り除き、数値形式へ変換</t>
    <rPh sb="1" eb="3">
      <t>ウリアゲ</t>
    </rPh>
    <rPh sb="3" eb="4">
      <t>ラン</t>
    </rPh>
    <rPh sb="13" eb="14">
      <t>ト</t>
    </rPh>
    <rPh sb="15" eb="16">
      <t>ノゾ</t>
    </rPh>
    <rPh sb="18" eb="22">
      <t>スウチケイシキ</t>
    </rPh>
    <rPh sb="23" eb="25">
      <t>ヘンカン</t>
    </rPh>
    <phoneticPr fontId="2"/>
  </si>
  <si>
    <t>⑥整形したデータをを基に、ピポットテーブルにて、都道府県別の売上合計、売上平均、および顧客名ごとの顧客数を集計</t>
    <rPh sb="24" eb="28">
      <t>トドウフケン</t>
    </rPh>
    <rPh sb="35" eb="39">
      <t>ウリアゲヘイキン</t>
    </rPh>
    <rPh sb="43" eb="46">
      <t>コキャクメイ</t>
    </rPh>
    <rPh sb="49" eb="52">
      <t>コキャクスウ</t>
    </rPh>
    <phoneticPr fontId="2"/>
  </si>
  <si>
    <t>顧客名の重複削除、顧客名、メールアドレス、都道府県、売上の文字列整形、ピボットテーブル分析を用いたデータ整備を実施</t>
    <rPh sb="0" eb="3">
      <t>コキャクメイ</t>
    </rPh>
    <rPh sb="9" eb="12">
      <t>コキャクメイ</t>
    </rPh>
    <rPh sb="21" eb="25">
      <t>トドウフケン</t>
    </rPh>
    <rPh sb="26" eb="27">
      <t>ウ</t>
    </rPh>
    <rPh sb="27" eb="28">
      <t>ア</t>
    </rPh>
    <phoneticPr fontId="2"/>
  </si>
  <si>
    <t>作成時間</t>
    <rPh sb="0" eb="4">
      <t>サクセイジカン</t>
    </rPh>
    <phoneticPr fontId="2"/>
  </si>
  <si>
    <t>30分</t>
    <rPh sb="2" eb="3">
      <t>プン</t>
    </rPh>
    <phoneticPr fontId="2"/>
  </si>
  <si>
    <t>Excel関数（IF、ISERROR、SUBSTITUTE、TRIM、LEFT、MID、RIGHT、FIND、LEN、VALUE）を使用</t>
    <phoneticPr fontId="2"/>
  </si>
  <si>
    <t>田中サンプル</t>
    <phoneticPr fontId="2"/>
  </si>
  <si>
    <t>検証 花子</t>
  </si>
  <si>
    <t>検証 花子</t>
    <rPh sb="0" eb="2">
      <t>ケンショウ</t>
    </rPh>
    <phoneticPr fontId="2"/>
  </si>
  <si>
    <t>山田テス</t>
    <phoneticPr fontId="2"/>
  </si>
  <si>
    <t>鈴木プル</t>
    <phoneticPr fontId="2"/>
  </si>
  <si>
    <t>kensho@example</t>
    <phoneticPr fontId="2"/>
  </si>
  <si>
    <t>田中 プル</t>
  </si>
  <si>
    <t>山田 テス</t>
  </si>
  <si>
    <t>鈴木 プル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</si>
</sst>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b/>
      <sz val="11"/>
      <color theme="1"/>
      <name val="Yu Gothic"/>
      <family val="3"/>
      <charset val="128"/>
      <scheme val="minor"/>
    </font>
    <font>
      <sz val="6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3" fontId="0" fillId="0" borderId="1" xfId="0" applyNumberForma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0" fontId="0" fillId="0" borderId="0" xfId="0" applyNumberFormat="1"/>
  </cellXfs>
  <cellStyles count="1">
    <cellStyle name="標準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石田 哲也" refreshedDate="46154.004352199074" createdVersion="8" refreshedVersion="8" minRefreshableVersion="3" recordCount="4" xr:uid="{39DB609F-E80E-49B5-9348-4F51898DA43D}">
  <cacheSource type="worksheet">
    <worksheetSource ref="A3:D7" sheet="整形後"/>
  </cacheSource>
  <cacheFields count="4">
    <cacheField name="顧客名" numFmtId="0">
      <sharedItems count="8">
        <s v="田中 プル"/>
        <s v="検証 花子"/>
        <s v="山田 テス"/>
        <s v="鈴木 プル"/>
        <s v="田中 太郎" u="1"/>
        <s v="佐藤 花子" u="1"/>
        <s v="山田 次郎" u="1"/>
        <s v="鈴木 一郎" u="1"/>
      </sharedItems>
    </cacheField>
    <cacheField name="メールアドレス" numFmtId="0">
      <sharedItems/>
    </cacheField>
    <cacheField name="都道府県" numFmtId="0">
      <sharedItems count="4">
        <s v="富山県"/>
        <s v="東京都"/>
        <s v="大阪府"/>
        <s v="愛知県"/>
      </sharedItems>
    </cacheField>
    <cacheField name="売上" numFmtId="0">
      <sharedItems containsSemiMixedTypes="0" containsString="0" containsNumber="1" containsInteger="1" minValue="8500" maxValue="1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s v="tanaka@example.com"/>
    <x v="0"/>
    <n v="12000"/>
  </r>
  <r>
    <x v="1"/>
    <s v="kensho@example.com"/>
    <x v="1"/>
    <n v="8500"/>
  </r>
  <r>
    <x v="2"/>
    <s v="yamada@example.com"/>
    <x v="2"/>
    <n v="12000"/>
  </r>
  <r>
    <x v="3"/>
    <s v="suzuki@example.com"/>
    <x v="3"/>
    <n v="15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51319A-967F-4FAC-9FE6-1F4C92C17AE2}" name="ピボットテーブル7" cacheId="16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 rowHeaderCaption="都道府県">
  <location ref="G11:H16" firstHeaderRow="1" firstDataRow="1" firstDataCol="1"/>
  <pivotFields count="4">
    <pivotField showAll="0"/>
    <pivotField showAll="0"/>
    <pivotField axis="axisRow" showAll="0">
      <items count="5">
        <item x="3"/>
        <item x="2"/>
        <item x="1"/>
        <item x="0"/>
        <item t="default"/>
      </items>
    </pivotField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平均 / 売上" fld="3" subtotal="average" baseField="2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796114-3381-47D5-B6B1-C0AA6DA35DFC}" name="ピボットテーブル6" cacheId="16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 rowHeaderCaption="顧客名">
  <location ref="D11:E16" firstHeaderRow="1" firstDataRow="1" firstDataCol="1"/>
  <pivotFields count="4">
    <pivotField axis="axisRow" showAll="0">
      <items count="9">
        <item m="1" x="5"/>
        <item m="1" x="6"/>
        <item m="1" x="4"/>
        <item m="1" x="7"/>
        <item x="0"/>
        <item x="1"/>
        <item x="2"/>
        <item x="3"/>
        <item t="default"/>
      </items>
    </pivotField>
    <pivotField showAll="0"/>
    <pivotField showAll="0"/>
    <pivotField dataField="1" showAll="0"/>
  </pivotFields>
  <rowFields count="1">
    <field x="0"/>
  </rowFields>
  <rowItems count="5"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顧客数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4AE2B7-557D-46CC-8E18-F59A0EB79FE4}" name="ピボットテーブル5" cacheId="16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 rowHeaderCaption="都道府県">
  <location ref="A11:B16" firstHeaderRow="1" firstDataRow="1" firstDataCol="1"/>
  <pivotFields count="4">
    <pivotField showAll="0"/>
    <pivotField showAll="0"/>
    <pivotField axis="axisRow" showAll="0">
      <items count="5">
        <item x="3"/>
        <item x="2"/>
        <item x="1"/>
        <item x="0"/>
        <item t="default"/>
      </items>
    </pivotField>
    <pivotField dataFiel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合計 / 売上" fld="3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8"/>
  <sheetViews>
    <sheetView workbookViewId="0"/>
  </sheetViews>
  <sheetFormatPr defaultRowHeight="18"/>
  <cols>
    <col min="1" max="1" width="12.9140625" customWidth="1"/>
    <col min="2" max="2" width="22.1640625" customWidth="1"/>
    <col min="4" max="4" width="6.6640625" bestFit="1" customWidth="1"/>
  </cols>
  <sheetData>
    <row r="2" spans="1:4">
      <c r="A2" t="s">
        <v>11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s="2" t="s">
        <v>34</v>
      </c>
      <c r="B4" s="2" t="s">
        <v>4</v>
      </c>
      <c r="C4" s="2" t="s">
        <v>5</v>
      </c>
      <c r="D4" s="3">
        <v>12000</v>
      </c>
    </row>
    <row r="5" spans="1:4">
      <c r="A5" s="2" t="s">
        <v>36</v>
      </c>
      <c r="B5" s="2" t="s">
        <v>39</v>
      </c>
      <c r="C5" s="2" t="s">
        <v>6</v>
      </c>
      <c r="D5" s="3">
        <v>8500</v>
      </c>
    </row>
    <row r="6" spans="1:4">
      <c r="A6" s="2" t="s">
        <v>34</v>
      </c>
      <c r="B6" s="2" t="s">
        <v>4</v>
      </c>
      <c r="C6" s="2" t="s">
        <v>5</v>
      </c>
      <c r="D6" s="3">
        <v>12000</v>
      </c>
    </row>
    <row r="7" spans="1:4">
      <c r="A7" s="2" t="s">
        <v>37</v>
      </c>
      <c r="B7" s="2" t="s">
        <v>7</v>
      </c>
      <c r="C7" s="2" t="s">
        <v>8</v>
      </c>
      <c r="D7" s="3">
        <v>15000</v>
      </c>
    </row>
    <row r="8" spans="1:4">
      <c r="A8" s="2" t="s">
        <v>38</v>
      </c>
      <c r="B8" s="2" t="s">
        <v>9</v>
      </c>
      <c r="C8" s="2" t="s">
        <v>10</v>
      </c>
      <c r="D8" s="3">
        <v>5000</v>
      </c>
    </row>
  </sheetData>
  <sheetProtection algorithmName="SHA-512" hashValue="MsHnqUhRcK5867XRLnpRXyvo/Bu3JM8SzN2erSicLLb++Gz5j+NKULSn/Z92YSkgS9tsF4ER9JRKx6ev8zRDCw==" saltValue="w3OkfzYxjYZTaCvEHcenRA==" spinCount="100000" sheet="1" objects="1" scenarios="1"/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FC400-09A6-4851-B60E-5A3EF9A2C8F0}">
  <dimension ref="A2:H33"/>
  <sheetViews>
    <sheetView tabSelected="1" workbookViewId="0"/>
  </sheetViews>
  <sheetFormatPr defaultColWidth="22.4140625" defaultRowHeight="18"/>
  <cols>
    <col min="1" max="1" width="10.75" bestFit="1" customWidth="1"/>
    <col min="2" max="2" width="22.83203125" customWidth="1"/>
    <col min="3" max="3" width="8.6640625" bestFit="1" customWidth="1"/>
    <col min="4" max="4" width="9" bestFit="1" customWidth="1"/>
    <col min="5" max="5" width="6.83203125" bestFit="1" customWidth="1"/>
    <col min="7" max="7" width="10.75" bestFit="1" customWidth="1"/>
    <col min="8" max="8" width="10.6640625" bestFit="1" customWidth="1"/>
  </cols>
  <sheetData>
    <row r="2" spans="1:8">
      <c r="A2" t="s">
        <v>12</v>
      </c>
    </row>
    <row r="3" spans="1:8">
      <c r="A3" s="4" t="s">
        <v>0</v>
      </c>
      <c r="B3" s="4" t="s">
        <v>1</v>
      </c>
      <c r="C3" s="4" t="s">
        <v>2</v>
      </c>
      <c r="D3" s="4" t="s">
        <v>17</v>
      </c>
    </row>
    <row r="4" spans="1:8">
      <c r="A4" s="5" t="str">
        <f>LEFT(SUBSTITUTE(TRIM(整形前!A4)," ",""),2)&amp;" "&amp;RIGHT(SUBSTITUTE(TRIM(整形前!A4)," ",""),2)</f>
        <v>田中 プル</v>
      </c>
      <c r="B4" s="5" t="str">
        <f>IF(ISERROR(FIND(".com",SUBSTITUTE(整形前!B4,"@",""))),LEFT(SUBSTITUTE(整形前!B4,"@",""),FIND("example",SUBSTITUTE(整形前!B4,"@",""))-1)&amp;"@"&amp;MID(SUBSTITUTE(整形前!B4,"@",""),FIND("example",SUBSTITUTE(整形前!B4,"@","")),LEN(SUBSTITUTE(整形前!B4,"@","")))&amp;".com",LEFT(SUBSTITUTE(整形前!B4,"@",""),FIND("example",SUBSTITUTE(整形前!B4,"@",""))-1)&amp;"@"&amp;MID(SUBSTITUTE(整形前!B4,"@",""),FIND("example",SUBSTITUTE(整形前!B4,"@","")),LEN(SUBSTITUTE(整形前!B4,"@",""))))</f>
        <v>tanaka@example.com</v>
      </c>
      <c r="C4" s="5" t="str">
        <f>IF(整形前!C4="osaka","大阪府",整形前!C4)</f>
        <v>富山県</v>
      </c>
      <c r="D4" s="5">
        <f>VALUE(SUBSTITUTE(整形前!D4,",",""))</f>
        <v>12000</v>
      </c>
    </row>
    <row r="5" spans="1:8">
      <c r="A5" s="5" t="str">
        <f>LEFT(SUBSTITUTE(TRIM(整形前!A5)," ",""),2)&amp;" "&amp;RIGHT(SUBSTITUTE(TRIM(整形前!A5)," ",""),2)</f>
        <v>検証 花子</v>
      </c>
      <c r="B5" s="5" t="str">
        <f>IF(ISERROR(FIND(".com",SUBSTITUTE(整形前!B5,"@",""))),LEFT(SUBSTITUTE(整形前!B5,"@",""),FIND("example",SUBSTITUTE(整形前!B5,"@",""))-1)&amp;"@"&amp;MID(SUBSTITUTE(整形前!B5,"@",""),FIND("example",SUBSTITUTE(整形前!B5,"@","")),LEN(SUBSTITUTE(整形前!B5,"@","")))&amp;".com",LEFT(SUBSTITUTE(整形前!B5,"@",""),FIND("example",SUBSTITUTE(整形前!B5,"@",""))-1)&amp;"@"&amp;MID(SUBSTITUTE(整形前!B5,"@",""),FIND("example",SUBSTITUTE(整形前!B5,"@","")),LEN(SUBSTITUTE(整形前!B5,"@",""))))</f>
        <v>kensho@example.com</v>
      </c>
      <c r="C5" s="5" t="str">
        <f>IF(整形前!C5="osaka","大阪府",整形前!C5)</f>
        <v>東京都</v>
      </c>
      <c r="D5" s="5">
        <f>VALUE(SUBSTITUTE(整形前!D5,",",""))</f>
        <v>8500</v>
      </c>
    </row>
    <row r="6" spans="1:8">
      <c r="A6" s="5" t="str">
        <f>LEFT(SUBSTITUTE(TRIM(整形前!A7)," ",""),2)&amp;" "&amp;RIGHT(SUBSTITUTE(TRIM(整形前!A7)," ",""),2)</f>
        <v>山田 テス</v>
      </c>
      <c r="B6" s="5" t="str">
        <f>IF(ISERROR(FIND(".com",SUBSTITUTE(整形前!B7,"@",""))),LEFT(SUBSTITUTE(整形前!B7,"@",""),FIND("example",SUBSTITUTE(整形前!B7,"@",""))-1)&amp;"@"&amp;MID(SUBSTITUTE(整形前!B7,"@",""),FIND("example",SUBSTITUTE(整形前!B7,"@","")),LEN(SUBSTITUTE(整形前!B7,"@","")))&amp;".com",LEFT(SUBSTITUTE(整形前!B7,"@",""),FIND("example",SUBSTITUTE(整形前!B7,"@",""))-1)&amp;"@"&amp;MID(SUBSTITUTE(整形前!B7,"@",""),FIND("example",SUBSTITUTE(整形前!B7,"@","")),LEN(SUBSTITUTE(整形前!B7,"@",""))))</f>
        <v>yamada@example.com</v>
      </c>
      <c r="C6" s="5" t="str">
        <f>IF(整形前!C7="osaka","大阪府",整形前!C7)</f>
        <v>大阪府</v>
      </c>
      <c r="D6" s="5">
        <f>VALUE(SUBSTITUTE(整形前!D6,",",""))</f>
        <v>12000</v>
      </c>
    </row>
    <row r="7" spans="1:8">
      <c r="A7" s="5" t="str">
        <f>LEFT(SUBSTITUTE(TRIM(整形前!A8)," ",""),2)&amp;" "&amp;RIGHT(SUBSTITUTE(TRIM(整形前!A8)," ",""),2)</f>
        <v>鈴木 プル</v>
      </c>
      <c r="B7" s="5" t="str">
        <f>IF(ISERROR(FIND(".com",SUBSTITUTE(整形前!B8,"@",""))),LEFT(SUBSTITUTE(整形前!B8,"@",""),FIND("example",SUBSTITUTE(整形前!B8,"@",""))-1)&amp;"@"&amp;MID(SUBSTITUTE(整形前!B8,"@",""),FIND("example",SUBSTITUTE(整形前!B8,"@","")),LEN(SUBSTITUTE(整形前!B8,"@","")))&amp;".com",LEFT(SUBSTITUTE(整形前!B8,"@",""),FIND("example",SUBSTITUTE(整形前!B8,"@",""))-1)&amp;"@"&amp;MID(SUBSTITUTE(整形前!B8,"@",""),FIND("example",SUBSTITUTE(整形前!B8,"@","")),LEN(SUBSTITUTE(整形前!B8,"@",""))))</f>
        <v>suzuki@example.com</v>
      </c>
      <c r="C7" s="5" t="str">
        <f>IF(整形前!C8="osaka","大阪府",整形前!C8)</f>
        <v>愛知県</v>
      </c>
      <c r="D7" s="5">
        <f>VALUE(SUBSTITUTE(整形前!D7,",",""))</f>
        <v>15000</v>
      </c>
    </row>
    <row r="10" spans="1:8">
      <c r="A10" s="8" t="s">
        <v>13</v>
      </c>
      <c r="D10" s="8" t="s">
        <v>21</v>
      </c>
      <c r="G10" s="8" t="s">
        <v>20</v>
      </c>
    </row>
    <row r="11" spans="1:8">
      <c r="A11" s="6" t="s">
        <v>2</v>
      </c>
      <c r="B11" t="s">
        <v>16</v>
      </c>
      <c r="D11" s="6" t="s">
        <v>0</v>
      </c>
      <c r="E11" t="s">
        <v>18</v>
      </c>
      <c r="G11" s="6" t="s">
        <v>2</v>
      </c>
      <c r="H11" t="s">
        <v>19</v>
      </c>
    </row>
    <row r="12" spans="1:8">
      <c r="A12" s="7" t="s">
        <v>10</v>
      </c>
      <c r="B12" s="9">
        <v>15000</v>
      </c>
      <c r="D12" s="7" t="s">
        <v>40</v>
      </c>
      <c r="E12" s="9">
        <v>1</v>
      </c>
      <c r="G12" s="7" t="s">
        <v>10</v>
      </c>
      <c r="H12" s="9">
        <v>15000</v>
      </c>
    </row>
    <row r="13" spans="1:8">
      <c r="A13" s="7" t="s">
        <v>14</v>
      </c>
      <c r="B13" s="9">
        <v>12000</v>
      </c>
      <c r="D13" s="7" t="s">
        <v>35</v>
      </c>
      <c r="E13" s="9">
        <v>1</v>
      </c>
      <c r="G13" s="7" t="s">
        <v>14</v>
      </c>
      <c r="H13" s="9">
        <v>12000</v>
      </c>
    </row>
    <row r="14" spans="1:8">
      <c r="A14" s="7" t="s">
        <v>6</v>
      </c>
      <c r="B14" s="9">
        <v>8500</v>
      </c>
      <c r="D14" s="7" t="s">
        <v>41</v>
      </c>
      <c r="E14" s="9">
        <v>1</v>
      </c>
      <c r="G14" s="7" t="s">
        <v>6</v>
      </c>
      <c r="H14" s="9">
        <v>8500</v>
      </c>
    </row>
    <row r="15" spans="1:8">
      <c r="A15" s="7" t="s">
        <v>5</v>
      </c>
      <c r="B15" s="9">
        <v>12000</v>
      </c>
      <c r="D15" s="7" t="s">
        <v>42</v>
      </c>
      <c r="E15" s="9">
        <v>1</v>
      </c>
      <c r="G15" s="7" t="s">
        <v>5</v>
      </c>
      <c r="H15" s="9">
        <v>12000</v>
      </c>
    </row>
    <row r="16" spans="1:8">
      <c r="A16" s="7" t="s">
        <v>15</v>
      </c>
      <c r="B16" s="9">
        <v>47500</v>
      </c>
      <c r="D16" s="7" t="s">
        <v>15</v>
      </c>
      <c r="E16" s="9">
        <v>4</v>
      </c>
      <c r="G16" s="7" t="s">
        <v>15</v>
      </c>
      <c r="H16" s="9">
        <v>11875</v>
      </c>
    </row>
    <row r="19" spans="1:1">
      <c r="A19" t="s">
        <v>22</v>
      </c>
    </row>
    <row r="21" spans="1:1">
      <c r="A21" t="s">
        <v>24</v>
      </c>
    </row>
    <row r="22" spans="1:1">
      <c r="A22" t="s">
        <v>25</v>
      </c>
    </row>
    <row r="23" spans="1:1">
      <c r="A23" t="s">
        <v>26</v>
      </c>
    </row>
    <row r="24" spans="1:1">
      <c r="A24" t="s">
        <v>27</v>
      </c>
    </row>
    <row r="25" spans="1:1">
      <c r="A25" t="s">
        <v>28</v>
      </c>
    </row>
    <row r="26" spans="1:1">
      <c r="A26" t="s">
        <v>29</v>
      </c>
    </row>
    <row r="28" spans="1:1">
      <c r="A28" t="s">
        <v>23</v>
      </c>
    </row>
    <row r="29" spans="1:1">
      <c r="A29" t="s">
        <v>30</v>
      </c>
    </row>
    <row r="30" spans="1:1">
      <c r="A30" t="s">
        <v>33</v>
      </c>
    </row>
    <row r="32" spans="1:1">
      <c r="A32" t="s">
        <v>31</v>
      </c>
    </row>
    <row r="33" spans="1:1">
      <c r="A33" t="s">
        <v>32</v>
      </c>
    </row>
  </sheetData>
  <sheetProtection algorithmName="SHA-512" hashValue="ePi6qVGdioBDvLpx73+RlCSax7clnqV1v/s3K+8WBFaTXCLnGKri0IPjV61pqEO94zxBegrkVh4r8bZfzhOLhg==" saltValue="5PZlcY8HOwEn2n71QHmvUw==" spinCount="100000" sheet="1" objects="1" scenarios="1"/>
  <phoneticPr fontId="2"/>
  <conditionalFormatting sqref="A3:A7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整形前</vt:lpstr>
      <vt:lpstr>整形後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石田 哲也</dc:creator>
  <cp:lastModifiedBy>哲也 石田</cp:lastModifiedBy>
  <dcterms:created xsi:type="dcterms:W3CDTF">2015-06-05T18:19:34Z</dcterms:created>
  <dcterms:modified xsi:type="dcterms:W3CDTF">2026-05-11T15:07:01Z</dcterms:modified>
</cp:coreProperties>
</file>