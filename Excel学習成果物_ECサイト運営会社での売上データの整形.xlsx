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excel学習\"/>
    </mc:Choice>
  </mc:AlternateContent>
  <xr:revisionPtr revIDLastSave="0" documentId="13_ncr:1_{04074545-2647-461D-97AC-E244273433B4}" xr6:coauthVersionLast="47" xr6:coauthVersionMax="47" xr10:uidLastSave="{00000000-0000-0000-0000-000000000000}"/>
  <bookViews>
    <workbookView xWindow="8530" yWindow="5500" windowWidth="29720" windowHeight="15370" activeTab="2" xr2:uid="{00000000-000D-0000-FFFF-FFFF00000000}"/>
  </bookViews>
  <sheets>
    <sheet name="整形前_売上データ" sheetId="1" r:id="rId1"/>
    <sheet name="整形前_商品マスタ" sheetId="5" r:id="rId2"/>
    <sheet name="整形後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G6" i="3" s="1"/>
  <c r="D7" i="3"/>
  <c r="F7" i="3" s="1"/>
  <c r="G7" i="3" s="1"/>
  <c r="D8" i="3"/>
  <c r="F8" i="3" s="1"/>
  <c r="G8" i="3" s="1"/>
  <c r="D9" i="3"/>
  <c r="F9" i="3" s="1"/>
  <c r="G9" i="3" s="1"/>
  <c r="D5" i="3"/>
  <c r="F5" i="3" s="1"/>
  <c r="G5" i="3" s="1"/>
  <c r="C6" i="3"/>
  <c r="C7" i="3"/>
  <c r="C8" i="3"/>
  <c r="C9" i="3"/>
  <c r="C5" i="3"/>
</calcChain>
</file>

<file path=xl/sharedStrings.xml><?xml version="1.0" encoding="utf-8"?>
<sst xmlns="http://schemas.openxmlformats.org/spreadsheetml/2006/main" count="63" uniqueCount="39">
  <si>
    <t>売上データ</t>
    <rPh sb="0" eb="2">
      <t>ウリアゲ</t>
    </rPh>
    <phoneticPr fontId="1"/>
  </si>
  <si>
    <t>日付</t>
  </si>
  <si>
    <t>商品コード</t>
  </si>
  <si>
    <t>数量</t>
  </si>
  <si>
    <t>P001</t>
  </si>
  <si>
    <t>P002</t>
  </si>
  <si>
    <t>P003</t>
  </si>
  <si>
    <t>P004</t>
  </si>
  <si>
    <t>商品マスタ</t>
    <rPh sb="0" eb="2">
      <t>ショウヒン</t>
    </rPh>
    <phoneticPr fontId="1"/>
  </si>
  <si>
    <t>商品名</t>
  </si>
  <si>
    <t>単価</t>
  </si>
  <si>
    <t>マウス</t>
  </si>
  <si>
    <t>キーボード</t>
  </si>
  <si>
    <t>モニター</t>
  </si>
  <si>
    <t>USBメモリ</t>
  </si>
  <si>
    <t>商品名</t>
    <rPh sb="0" eb="3">
      <t>ショウヒンメイ</t>
    </rPh>
    <phoneticPr fontId="1"/>
  </si>
  <si>
    <t>単価</t>
    <rPh sb="0" eb="2">
      <t>タンカ</t>
    </rPh>
    <phoneticPr fontId="1"/>
  </si>
  <si>
    <t>売上金額</t>
    <rPh sb="0" eb="4">
      <t>ウリアゲキンガク</t>
    </rPh>
    <phoneticPr fontId="1"/>
  </si>
  <si>
    <t>高額商品判定</t>
  </si>
  <si>
    <t>高額商品判定</t>
    <rPh sb="0" eb="4">
      <t>コウガクショウヒン</t>
    </rPh>
    <rPh sb="4" eb="6">
      <t>ハンテイ</t>
    </rPh>
    <phoneticPr fontId="1"/>
  </si>
  <si>
    <t>総計</t>
  </si>
  <si>
    <t>合計 / 売上金額</t>
  </si>
  <si>
    <t>高額</t>
  </si>
  <si>
    <t>金額に応じた商品個数</t>
  </si>
  <si>
    <t>商品別売上合計</t>
    <rPh sb="0" eb="4">
      <t>ショウヒンベツウ</t>
    </rPh>
    <rPh sb="4" eb="5">
      <t>ア</t>
    </rPh>
    <rPh sb="5" eb="7">
      <t>ゴウケイ</t>
    </rPh>
    <phoneticPr fontId="1"/>
  </si>
  <si>
    <t>日付別売上</t>
    <rPh sb="0" eb="5">
      <t>ヒヅケベツウリアゲ</t>
    </rPh>
    <phoneticPr fontId="1"/>
  </si>
  <si>
    <t>高額商品の件数</t>
    <rPh sb="0" eb="4">
      <t>コウガクショウヒン</t>
    </rPh>
    <rPh sb="5" eb="7">
      <t>ケンスウ</t>
    </rPh>
    <phoneticPr fontId="1"/>
  </si>
  <si>
    <t>整形手順</t>
    <rPh sb="0" eb="4">
      <t>セイケイテジュン</t>
    </rPh>
    <phoneticPr fontId="1"/>
  </si>
  <si>
    <t>実施したこと</t>
    <rPh sb="0" eb="2">
      <t>ジッシ</t>
    </rPh>
    <phoneticPr fontId="1"/>
  </si>
  <si>
    <t>・・・関数を使い売上データを整形した箇所</t>
    <rPh sb="3" eb="5">
      <t>カンスウ</t>
    </rPh>
    <rPh sb="6" eb="7">
      <t>ツカ</t>
    </rPh>
    <rPh sb="8" eb="10">
      <t>ウリアゲ</t>
    </rPh>
    <rPh sb="14" eb="16">
      <t>セイケイ</t>
    </rPh>
    <rPh sb="18" eb="20">
      <t>カショ</t>
    </rPh>
    <phoneticPr fontId="1"/>
  </si>
  <si>
    <t>②単価、数量より売上金額を算出</t>
    <rPh sb="1" eb="3">
      <t>タンカ</t>
    </rPh>
    <rPh sb="4" eb="6">
      <t>スウリョウ</t>
    </rPh>
    <rPh sb="8" eb="12">
      <t>ウリアゲキンガク</t>
    </rPh>
    <rPh sb="13" eb="15">
      <t>サンシュツ</t>
    </rPh>
    <phoneticPr fontId="1"/>
  </si>
  <si>
    <t>③売上金額に応じて高額商品化判断する高額商品欄を追加</t>
    <rPh sb="1" eb="5">
      <t>ウリアゲキンガク</t>
    </rPh>
    <rPh sb="6" eb="7">
      <t>オウ</t>
    </rPh>
    <rPh sb="9" eb="16">
      <t>コウガクショウヒンカハンダン</t>
    </rPh>
    <rPh sb="18" eb="23">
      <t>コウガクショウヒンラン</t>
    </rPh>
    <rPh sb="24" eb="26">
      <t>ツイカ</t>
    </rPh>
    <phoneticPr fontId="1"/>
  </si>
  <si>
    <t>①売上データの商品コードから、商品マスタの商品名と単価を照合し、取得</t>
    <rPh sb="1" eb="3">
      <t>ウリアゲ</t>
    </rPh>
    <rPh sb="7" eb="9">
      <t>ショウヒン</t>
    </rPh>
    <rPh sb="15" eb="17">
      <t>ショウヒン</t>
    </rPh>
    <rPh sb="21" eb="24">
      <t>ショウヒンメイ</t>
    </rPh>
    <rPh sb="25" eb="27">
      <t>タンカ</t>
    </rPh>
    <rPh sb="28" eb="30">
      <t>ショウゴウ</t>
    </rPh>
    <rPh sb="32" eb="34">
      <t>シュトク</t>
    </rPh>
    <phoneticPr fontId="1"/>
  </si>
  <si>
    <t>④整形した売上データをを基に、ピポットテーブルにて、商品別、日付別の売上合計および高額商品の件数を集計</t>
    <rPh sb="1" eb="3">
      <t>セイケイ</t>
    </rPh>
    <rPh sb="5" eb="7">
      <t>ウリアゲ</t>
    </rPh>
    <rPh sb="12" eb="13">
      <t>モト</t>
    </rPh>
    <rPh sb="26" eb="28">
      <t>ショウヒン</t>
    </rPh>
    <rPh sb="28" eb="29">
      <t>ベツ</t>
    </rPh>
    <rPh sb="30" eb="32">
      <t>ヒヅケ</t>
    </rPh>
    <rPh sb="32" eb="33">
      <t>ベツ</t>
    </rPh>
    <rPh sb="34" eb="36">
      <t>ウリアゲ</t>
    </rPh>
    <rPh sb="36" eb="38">
      <t>ゴウケイ</t>
    </rPh>
    <rPh sb="41" eb="43">
      <t>コウガク</t>
    </rPh>
    <rPh sb="43" eb="45">
      <t>ショウヒン</t>
    </rPh>
    <rPh sb="46" eb="48">
      <t>ケンスウ</t>
    </rPh>
    <rPh sb="49" eb="51">
      <t>シュウケイ</t>
    </rPh>
    <phoneticPr fontId="1"/>
  </si>
  <si>
    <t>⑤商品別売上合計について、売上金額の降順に並び替え</t>
    <rPh sb="1" eb="6">
      <t>ショウヒンベツウリアゲ</t>
    </rPh>
    <rPh sb="6" eb="8">
      <t>ゴウケイ</t>
    </rPh>
    <rPh sb="13" eb="17">
      <t>ウリアゲキンガク</t>
    </rPh>
    <rPh sb="18" eb="20">
      <t>コウジュン</t>
    </rPh>
    <rPh sb="21" eb="22">
      <t>ナラ</t>
    </rPh>
    <rPh sb="23" eb="24">
      <t>カ</t>
    </rPh>
    <phoneticPr fontId="1"/>
  </si>
  <si>
    <t>⑥高額商品の件数について、高額商品判定が「高額」の商品個数のみ表示</t>
    <rPh sb="1" eb="5">
      <t>コウガクショウヒン</t>
    </rPh>
    <rPh sb="6" eb="8">
      <t>ケンスウ</t>
    </rPh>
    <rPh sb="13" eb="19">
      <t>コウガクショウヒンハンテイ</t>
    </rPh>
    <rPh sb="21" eb="23">
      <t>コウガク</t>
    </rPh>
    <rPh sb="25" eb="29">
      <t>ショウヒンコスウ</t>
    </rPh>
    <rPh sb="31" eb="33">
      <t>ヒョウジ</t>
    </rPh>
    <phoneticPr fontId="1"/>
  </si>
  <si>
    <t>VLOOKUP/XLOOKUPを用いたデータ照合、売上集計、ピボットテーブルによる分析を実施</t>
    <phoneticPr fontId="1"/>
  </si>
  <si>
    <t>作成時間</t>
    <rPh sb="0" eb="4">
      <t>サクセイジカン</t>
    </rPh>
    <phoneticPr fontId="1"/>
  </si>
  <si>
    <t>10分</t>
    <rPh sb="2" eb="3">
      <t>プン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</si>
</sst>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5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iyam" refreshedDate="46153.656835416667" createdVersion="8" refreshedVersion="8" minRefreshableVersion="3" recordCount="5" xr:uid="{5600D969-6BFE-4DA5-8418-7D828B46C753}">
  <cacheSource type="worksheet">
    <worksheetSource ref="A4:G9" sheet="整形後"/>
  </cacheSource>
  <cacheFields count="7">
    <cacheField name="日付" numFmtId="56">
      <sharedItems containsSemiMixedTypes="0" containsNonDate="0" containsDate="1" containsString="0" minDate="2026-05-01T00:00:00" maxDate="2026-05-04T00:00:00" count="3">
        <d v="2026-05-01T00:00:00"/>
        <d v="2026-05-02T00:00:00"/>
        <d v="2026-05-03T00:00:00"/>
      </sharedItems>
    </cacheField>
    <cacheField name="商品コード" numFmtId="0">
      <sharedItems/>
    </cacheField>
    <cacheField name="商品名" numFmtId="0">
      <sharedItems count="4">
        <s v="マウス"/>
        <s v="キーボード"/>
        <s v="モニター"/>
        <s v="USBメモリ"/>
      </sharedItems>
    </cacheField>
    <cacheField name="単価" numFmtId="0">
      <sharedItems containsSemiMixedTypes="0" containsString="0" containsNumber="1" containsInteger="1" minValue="1800" maxValue="22000"/>
    </cacheField>
    <cacheField name="数量" numFmtId="0">
      <sharedItems containsSemiMixedTypes="0" containsString="0" containsNumber="1" containsInteger="1" minValue="1" maxValue="5"/>
    </cacheField>
    <cacheField name="売上金額" numFmtId="0">
      <sharedItems containsSemiMixedTypes="0" containsString="0" containsNumber="1" containsInteger="1" minValue="1800" maxValue="44000"/>
    </cacheField>
    <cacheField name="高額商品判定" numFmtId="0">
      <sharedItems count="2">
        <s v="通常"/>
        <s v="高額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P001"/>
    <x v="0"/>
    <n v="2500"/>
    <n v="3"/>
    <n v="7500"/>
    <x v="0"/>
  </r>
  <r>
    <x v="0"/>
    <s v="P002"/>
    <x v="1"/>
    <n v="5000"/>
    <n v="5"/>
    <n v="25000"/>
    <x v="1"/>
  </r>
  <r>
    <x v="1"/>
    <s v="P003"/>
    <x v="2"/>
    <n v="22000"/>
    <n v="2"/>
    <n v="44000"/>
    <x v="1"/>
  </r>
  <r>
    <x v="1"/>
    <s v="P001"/>
    <x v="0"/>
    <n v="2500"/>
    <n v="4"/>
    <n v="10000"/>
    <x v="0"/>
  </r>
  <r>
    <x v="2"/>
    <s v="P004"/>
    <x v="3"/>
    <n v="1800"/>
    <n v="1"/>
    <n v="18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7BF19-4B70-4813-BC77-D475E0F56342}" name="ピボットテーブル4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rowHeaderCaption="高額商品判定">
  <location ref="G12:H14" firstHeaderRow="1" firstDataRow="1" firstDataCol="1"/>
  <pivotFields count="7">
    <pivotField numFmtId="56"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axis="axisRow" showAll="0">
      <items count="3">
        <item x="1"/>
        <item h="1" x="0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金額に応じた商品個数" fld="5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F370B-2E4E-4B31-B898-0D7EA28A8D44}" name="ピボットテーブル3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rowHeaderCaption="日付">
  <location ref="D12:E16" firstHeaderRow="1" firstDataRow="1" firstDataCol="1"/>
  <pivotFields count="7">
    <pivotField axis="axisRow" numFmtId="56" showAll="0">
      <items count="4">
        <item x="0"/>
        <item x="1"/>
        <item x="2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売上金額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9D917-347D-4825-9F37-962A44CE85CE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rowHeaderCaption="商品名">
  <location ref="A12:B17" firstHeaderRow="1" firstDataRow="1" firstDataCol="1"/>
  <pivotFields count="7">
    <pivotField numFmtId="56"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合計 / 売上金額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workbookViewId="0"/>
  </sheetViews>
  <sheetFormatPr defaultRowHeight="18"/>
  <cols>
    <col min="1" max="1" width="10.25" bestFit="1" customWidth="1"/>
    <col min="2" max="2" width="10.58203125" bestFit="1" customWidth="1"/>
    <col min="3" max="3" width="5" bestFit="1" customWidth="1"/>
  </cols>
  <sheetData>
    <row r="2" spans="1:3">
      <c r="A2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A4" s="2">
        <v>46143</v>
      </c>
      <c r="B4" s="3" t="s">
        <v>4</v>
      </c>
      <c r="C4" s="3">
        <v>3</v>
      </c>
    </row>
    <row r="5" spans="1:3">
      <c r="A5" s="2">
        <v>46143</v>
      </c>
      <c r="B5" s="3" t="s">
        <v>5</v>
      </c>
      <c r="C5" s="3">
        <v>5</v>
      </c>
    </row>
    <row r="6" spans="1:3">
      <c r="A6" s="2">
        <v>46144</v>
      </c>
      <c r="B6" s="3" t="s">
        <v>6</v>
      </c>
      <c r="C6" s="3">
        <v>2</v>
      </c>
    </row>
    <row r="7" spans="1:3">
      <c r="A7" s="2">
        <v>46144</v>
      </c>
      <c r="B7" s="3" t="s">
        <v>4</v>
      </c>
      <c r="C7" s="3">
        <v>4</v>
      </c>
    </row>
    <row r="8" spans="1:3">
      <c r="A8" s="2">
        <v>46145</v>
      </c>
      <c r="B8" s="3" t="s">
        <v>7</v>
      </c>
      <c r="C8" s="3">
        <v>1</v>
      </c>
    </row>
  </sheetData>
  <sheetProtection algorithmName="SHA-512" hashValue="QShJSd0Q1nnRT/aOKNY5RzbYWBs6MRmktvP9SGQCF3u9p6lFE94EIa0vRBw/l93E49Yzdo54cN+3eh2e3kUT+g==" saltValue="DZhRRFC0a/huNNJrBd0ViA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A525-B2F9-4FC3-9059-FF9080B35C94}">
  <dimension ref="A2:C7"/>
  <sheetViews>
    <sheetView workbookViewId="0"/>
  </sheetViews>
  <sheetFormatPr defaultRowHeight="18"/>
  <cols>
    <col min="1" max="1" width="10.58203125" bestFit="1" customWidth="1"/>
    <col min="2" max="2" width="10.5" bestFit="1" customWidth="1"/>
    <col min="3" max="3" width="6.1640625" bestFit="1" customWidth="1"/>
  </cols>
  <sheetData>
    <row r="2" spans="1:3">
      <c r="A2" t="s">
        <v>8</v>
      </c>
    </row>
    <row r="3" spans="1:3">
      <c r="A3" s="1" t="s">
        <v>2</v>
      </c>
      <c r="B3" s="1" t="s">
        <v>9</v>
      </c>
      <c r="C3" s="1" t="s">
        <v>10</v>
      </c>
    </row>
    <row r="4" spans="1:3">
      <c r="A4" s="3" t="s">
        <v>4</v>
      </c>
      <c r="B4" s="3" t="s">
        <v>11</v>
      </c>
      <c r="C4" s="3">
        <v>2500</v>
      </c>
    </row>
    <row r="5" spans="1:3">
      <c r="A5" s="3" t="s">
        <v>5</v>
      </c>
      <c r="B5" s="3" t="s">
        <v>12</v>
      </c>
      <c r="C5" s="3">
        <v>5000</v>
      </c>
    </row>
    <row r="6" spans="1:3">
      <c r="A6" s="3" t="s">
        <v>6</v>
      </c>
      <c r="B6" s="3" t="s">
        <v>13</v>
      </c>
      <c r="C6" s="3">
        <v>22000</v>
      </c>
    </row>
    <row r="7" spans="1:3">
      <c r="A7" s="3" t="s">
        <v>7</v>
      </c>
      <c r="B7" s="3" t="s">
        <v>14</v>
      </c>
      <c r="C7" s="3">
        <v>1800</v>
      </c>
    </row>
  </sheetData>
  <sheetProtection algorithmName="SHA-512" hashValue="X38Y43NOtFC36LTDO9tPqo5VAjCYEZa2NcnplhB0JmS1WdrEs68FSXV/G4DrU+3prdO1EwWpraUQdBe8ZR4GUA==" saltValue="5LtgbzRtIJu/fXEldK/BhQ==" spinCount="100000" sheet="1" objects="1" scenarios="1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4449-7450-4605-98ED-F88A121A1D71}">
  <dimension ref="A2:H33"/>
  <sheetViews>
    <sheetView tabSelected="1" workbookViewId="0"/>
  </sheetViews>
  <sheetFormatPr defaultRowHeight="18"/>
  <cols>
    <col min="1" max="1" width="10.5" bestFit="1" customWidth="1"/>
    <col min="2" max="2" width="14.58203125" bestFit="1" customWidth="1"/>
    <col min="3" max="3" width="10.58203125" customWidth="1"/>
    <col min="4" max="4" width="8.9140625" bestFit="1" customWidth="1"/>
    <col min="5" max="5" width="14.58203125" bestFit="1" customWidth="1"/>
    <col min="7" max="7" width="14.58203125" bestFit="1" customWidth="1"/>
    <col min="8" max="8" width="20.4140625" bestFit="1" customWidth="1"/>
    <col min="9" max="9" width="15.58203125" customWidth="1"/>
    <col min="10" max="10" width="20.4140625" bestFit="1" customWidth="1"/>
  </cols>
  <sheetData>
    <row r="2" spans="1:8">
      <c r="F2" s="6"/>
      <c r="G2" t="s">
        <v>29</v>
      </c>
    </row>
    <row r="3" spans="1:8">
      <c r="A3" t="s">
        <v>0</v>
      </c>
    </row>
    <row r="4" spans="1:8">
      <c r="A4" s="1" t="s">
        <v>1</v>
      </c>
      <c r="B4" s="1" t="s">
        <v>2</v>
      </c>
      <c r="C4" s="4" t="s">
        <v>15</v>
      </c>
      <c r="D4" s="4" t="s">
        <v>16</v>
      </c>
      <c r="E4" s="1" t="s">
        <v>3</v>
      </c>
      <c r="F4" s="4" t="s">
        <v>17</v>
      </c>
      <c r="G4" s="4" t="s">
        <v>19</v>
      </c>
    </row>
    <row r="5" spans="1:8">
      <c r="A5" s="2">
        <v>46143</v>
      </c>
      <c r="B5" s="3" t="s">
        <v>4</v>
      </c>
      <c r="C5" s="5" t="str">
        <f>_xlfn.XLOOKUP(B5,整形前_商品マスタ!$A$4:$A$7,整形前_商品マスタ!$B$4:$B$7,"該当商品なし",0,1)</f>
        <v>マウス</v>
      </c>
      <c r="D5" s="5">
        <f>VLOOKUP(B5,整形前_商品マスタ!$A$3:$C$7,3,FALSE)</f>
        <v>2500</v>
      </c>
      <c r="E5" s="3">
        <v>3</v>
      </c>
      <c r="F5" s="7">
        <f>D5*E5</f>
        <v>7500</v>
      </c>
      <c r="G5" s="7" t="str">
        <f>IF(F5&gt;=20000,"高額","通常")</f>
        <v>通常</v>
      </c>
    </row>
    <row r="6" spans="1:8">
      <c r="A6" s="2">
        <v>46143</v>
      </c>
      <c r="B6" s="3" t="s">
        <v>5</v>
      </c>
      <c r="C6" s="5" t="str">
        <f>_xlfn.XLOOKUP(B6,整形前_商品マスタ!$A$4:$A$7,整形前_商品マスタ!$B$4:$B$7,"該当商品なし",0,1)</f>
        <v>キーボード</v>
      </c>
      <c r="D6" s="5">
        <f>VLOOKUP(B6,整形前_商品マスタ!$A$3:$C$7,3,FALSE)</f>
        <v>5000</v>
      </c>
      <c r="E6" s="3">
        <v>5</v>
      </c>
      <c r="F6" s="7">
        <f t="shared" ref="F6:F9" si="0">D6*E6</f>
        <v>25000</v>
      </c>
      <c r="G6" s="7" t="str">
        <f t="shared" ref="G6:G9" si="1">IF(F6&gt;=20000,"高額","通常")</f>
        <v>高額</v>
      </c>
    </row>
    <row r="7" spans="1:8">
      <c r="A7" s="2">
        <v>46144</v>
      </c>
      <c r="B7" s="3" t="s">
        <v>6</v>
      </c>
      <c r="C7" s="5" t="str">
        <f>_xlfn.XLOOKUP(B7,整形前_商品マスタ!$A$4:$A$7,整形前_商品マスタ!$B$4:$B$7,"該当商品なし",0,1)</f>
        <v>モニター</v>
      </c>
      <c r="D7" s="5">
        <f>VLOOKUP(B7,整形前_商品マスタ!$A$3:$C$7,3,FALSE)</f>
        <v>22000</v>
      </c>
      <c r="E7" s="3">
        <v>2</v>
      </c>
      <c r="F7" s="7">
        <f t="shared" si="0"/>
        <v>44000</v>
      </c>
      <c r="G7" s="7" t="str">
        <f t="shared" si="1"/>
        <v>高額</v>
      </c>
    </row>
    <row r="8" spans="1:8">
      <c r="A8" s="2">
        <v>46144</v>
      </c>
      <c r="B8" s="3" t="s">
        <v>4</v>
      </c>
      <c r="C8" s="5" t="str">
        <f>_xlfn.XLOOKUP(B8,整形前_商品マスタ!$A$4:$A$7,整形前_商品マスタ!$B$4:$B$7,"該当商品なし",0,1)</f>
        <v>マウス</v>
      </c>
      <c r="D8" s="5">
        <f>VLOOKUP(B8,整形前_商品マスタ!$A$3:$C$7,3,FALSE)</f>
        <v>2500</v>
      </c>
      <c r="E8" s="3">
        <v>4</v>
      </c>
      <c r="F8" s="7">
        <f t="shared" si="0"/>
        <v>10000</v>
      </c>
      <c r="G8" s="7" t="str">
        <f t="shared" si="1"/>
        <v>通常</v>
      </c>
    </row>
    <row r="9" spans="1:8">
      <c r="A9" s="2">
        <v>46145</v>
      </c>
      <c r="B9" s="3" t="s">
        <v>7</v>
      </c>
      <c r="C9" s="5" t="str">
        <f>_xlfn.XLOOKUP(B9,整形前_商品マスタ!$A$4:$A$7,整形前_商品マスタ!$B$4:$B$7,"該当商品なし",0,1)</f>
        <v>USBメモリ</v>
      </c>
      <c r="D9" s="5">
        <f>VLOOKUP(B9,整形前_商品マスタ!$A$3:$C$7,3,FALSE)</f>
        <v>1800</v>
      </c>
      <c r="E9" s="3">
        <v>1</v>
      </c>
      <c r="F9" s="7">
        <f t="shared" si="0"/>
        <v>1800</v>
      </c>
      <c r="G9" s="7" t="str">
        <f t="shared" si="1"/>
        <v>通常</v>
      </c>
    </row>
    <row r="11" spans="1:8">
      <c r="A11" s="11" t="s">
        <v>24</v>
      </c>
      <c r="D11" s="11" t="s">
        <v>25</v>
      </c>
      <c r="G11" s="11" t="s">
        <v>26</v>
      </c>
    </row>
    <row r="12" spans="1:8">
      <c r="A12" s="8" t="s">
        <v>9</v>
      </c>
      <c r="B12" t="s">
        <v>21</v>
      </c>
      <c r="D12" s="8" t="s">
        <v>1</v>
      </c>
      <c r="E12" t="s">
        <v>21</v>
      </c>
      <c r="G12" s="8" t="s">
        <v>18</v>
      </c>
      <c r="H12" t="s">
        <v>23</v>
      </c>
    </row>
    <row r="13" spans="1:8">
      <c r="A13" s="9" t="s">
        <v>13</v>
      </c>
      <c r="B13">
        <v>44000</v>
      </c>
      <c r="D13" s="10">
        <v>46143</v>
      </c>
      <c r="E13">
        <v>32500</v>
      </c>
      <c r="G13" s="9" t="s">
        <v>22</v>
      </c>
      <c r="H13">
        <v>2</v>
      </c>
    </row>
    <row r="14" spans="1:8">
      <c r="A14" s="9" t="s">
        <v>12</v>
      </c>
      <c r="B14">
        <v>25000</v>
      </c>
      <c r="D14" s="10">
        <v>46144</v>
      </c>
      <c r="E14">
        <v>54000</v>
      </c>
      <c r="G14" s="9" t="s">
        <v>20</v>
      </c>
      <c r="H14">
        <v>2</v>
      </c>
    </row>
    <row r="15" spans="1:8">
      <c r="A15" s="9" t="s">
        <v>11</v>
      </c>
      <c r="B15">
        <v>17500</v>
      </c>
      <c r="D15" s="10">
        <v>46145</v>
      </c>
      <c r="E15">
        <v>1800</v>
      </c>
    </row>
    <row r="16" spans="1:8">
      <c r="A16" s="9" t="s">
        <v>14</v>
      </c>
      <c r="B16">
        <v>1800</v>
      </c>
      <c r="D16" s="10" t="s">
        <v>20</v>
      </c>
      <c r="E16">
        <v>88300</v>
      </c>
    </row>
    <row r="17" spans="1:2">
      <c r="A17" s="9" t="s">
        <v>20</v>
      </c>
      <c r="B17">
        <v>88300</v>
      </c>
    </row>
    <row r="20" spans="1:2">
      <c r="A20" t="s">
        <v>27</v>
      </c>
    </row>
    <row r="22" spans="1:2">
      <c r="A22" t="s">
        <v>32</v>
      </c>
    </row>
    <row r="23" spans="1:2">
      <c r="A23" t="s">
        <v>30</v>
      </c>
    </row>
    <row r="24" spans="1:2">
      <c r="A24" t="s">
        <v>31</v>
      </c>
    </row>
    <row r="25" spans="1:2">
      <c r="A25" t="s">
        <v>33</v>
      </c>
    </row>
    <row r="26" spans="1:2">
      <c r="A26" t="s">
        <v>34</v>
      </c>
    </row>
    <row r="27" spans="1:2">
      <c r="A27" t="s">
        <v>35</v>
      </c>
    </row>
    <row r="29" spans="1:2">
      <c r="A29" t="s">
        <v>28</v>
      </c>
    </row>
    <row r="30" spans="1:2">
      <c r="A30" t="s">
        <v>36</v>
      </c>
    </row>
    <row r="32" spans="1:2">
      <c r="A32" t="s">
        <v>37</v>
      </c>
    </row>
    <row r="33" spans="1:1">
      <c r="A33" t="s">
        <v>38</v>
      </c>
    </row>
  </sheetData>
  <sheetProtection algorithmName="SHA-512" hashValue="DmUAojtxVUuyB94+QmGy9jm/fLbC+3S0LUqDPaUja0PyAjDwbxNdhy9ncXFhj1BL01z7TJeFbjlMBKdIGb1xeA==" saltValue="FZXjYPqv8efCaB7u8dCzqg==" spinCount="100000"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整形前_売上データ</vt:lpstr>
      <vt:lpstr>整形前_商品マスタ</vt:lpstr>
      <vt:lpstr>整形後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哲也</dc:creator>
  <cp:lastModifiedBy>哲也 石田</cp:lastModifiedBy>
  <dcterms:created xsi:type="dcterms:W3CDTF">2015-06-05T18:19:34Z</dcterms:created>
  <dcterms:modified xsi:type="dcterms:W3CDTF">2026-05-11T14:16:44Z</dcterms:modified>
</cp:coreProperties>
</file>