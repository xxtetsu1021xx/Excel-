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Documents\excel学習\"/>
    </mc:Choice>
  </mc:AlternateContent>
  <xr:revisionPtr revIDLastSave="0" documentId="13_ncr:1_{D41C1F09-22B9-4358-9700-EF2CA46CA92B}" xr6:coauthVersionLast="47" xr6:coauthVersionMax="47" xr10:uidLastSave="{00000000-0000-0000-0000-000000000000}"/>
  <bookViews>
    <workbookView xWindow="22050" yWindow="5410" windowWidth="16190" windowHeight="15370" xr2:uid="{00000000-000D-0000-FFFF-FFFF00000000}"/>
  </bookViews>
  <sheets>
    <sheet name="整形前" sheetId="1" r:id="rId1"/>
    <sheet name="整形後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" i="2" l="1"/>
  <c r="K11" i="2"/>
  <c r="K6" i="2"/>
  <c r="K7" i="2"/>
  <c r="K8" i="2"/>
  <c r="K9" i="2"/>
  <c r="K5" i="2"/>
  <c r="H9" i="2"/>
  <c r="H5" i="2"/>
  <c r="F6" i="2"/>
  <c r="F7" i="2"/>
  <c r="F8" i="2"/>
  <c r="F9" i="2"/>
  <c r="F5" i="2"/>
  <c r="G6" i="2"/>
  <c r="H6" i="2" s="1"/>
  <c r="G7" i="2"/>
  <c r="H7" i="2" s="1"/>
  <c r="G8" i="2"/>
  <c r="H8" i="2" s="1"/>
  <c r="G9" i="2"/>
  <c r="G5" i="2"/>
  <c r="E6" i="2"/>
  <c r="E7" i="2"/>
  <c r="E8" i="2"/>
  <c r="E9" i="2"/>
  <c r="E5" i="2"/>
  <c r="D6" i="2"/>
  <c r="D7" i="2"/>
  <c r="D8" i="2"/>
  <c r="D9" i="2"/>
  <c r="D5" i="2"/>
  <c r="C6" i="2"/>
  <c r="C7" i="2"/>
  <c r="C8" i="2"/>
  <c r="C9" i="2"/>
  <c r="C5" i="2"/>
</calcChain>
</file>

<file path=xl/sharedStrings.xml><?xml version="1.0" encoding="utf-8"?>
<sst xmlns="http://schemas.openxmlformats.org/spreadsheetml/2006/main" count="67" uniqueCount="43">
  <si>
    <t>顧客ID</t>
  </si>
  <si>
    <t>氏名</t>
  </si>
  <si>
    <t>電話番号</t>
  </si>
  <si>
    <t>郵便番号</t>
  </si>
  <si>
    <t>購入金額</t>
  </si>
  <si>
    <t>会員区分</t>
  </si>
  <si>
    <t>C001</t>
  </si>
  <si>
    <t>A</t>
  </si>
  <si>
    <t>C002</t>
  </si>
  <si>
    <t>080-1111-2222</t>
  </si>
  <si>
    <t>930-0002</t>
  </si>
  <si>
    <t>B</t>
  </si>
  <si>
    <t>C003</t>
  </si>
  <si>
    <t>C004</t>
  </si>
  <si>
    <t>090-5555-6666</t>
  </si>
  <si>
    <t>C</t>
  </si>
  <si>
    <t>C005</t>
  </si>
  <si>
    <t>930-0005</t>
  </si>
  <si>
    <t>顧客データ</t>
    <rPh sb="0" eb="2">
      <t>コキャク</t>
    </rPh>
    <phoneticPr fontId="2"/>
  </si>
  <si>
    <t>姓</t>
    <rPh sb="0" eb="1">
      <t>セイ</t>
    </rPh>
    <phoneticPr fontId="2"/>
  </si>
  <si>
    <t>名</t>
    <rPh sb="0" eb="1">
      <t>メイ</t>
    </rPh>
    <phoneticPr fontId="2"/>
  </si>
  <si>
    <t>郵便番号(加工中)</t>
    <rPh sb="5" eb="8">
      <t>カコウチュウ</t>
    </rPh>
    <phoneticPr fontId="2"/>
  </si>
  <si>
    <t>会員ランク</t>
    <rPh sb="0" eb="2">
      <t>カイイン</t>
    </rPh>
    <phoneticPr fontId="2"/>
  </si>
  <si>
    <t>VIP人数</t>
    <rPh sb="3" eb="5">
      <t>ニンズウ</t>
    </rPh>
    <phoneticPr fontId="2"/>
  </si>
  <si>
    <t>電話番号（加工中)</t>
    <rPh sb="5" eb="8">
      <t>カコウチュウ</t>
    </rPh>
    <phoneticPr fontId="2"/>
  </si>
  <si>
    <t>会員区分Aの合計購入金額</t>
    <rPh sb="0" eb="4">
      <t>カイインクブン</t>
    </rPh>
    <rPh sb="6" eb="8">
      <t>ゴウケイ</t>
    </rPh>
    <rPh sb="8" eb="10">
      <t>コウニュウ</t>
    </rPh>
    <rPh sb="10" eb="12">
      <t>キンガク</t>
    </rPh>
    <phoneticPr fontId="2"/>
  </si>
  <si>
    <t>整形手順</t>
    <rPh sb="0" eb="4">
      <t>セイケイテジュン</t>
    </rPh>
    <phoneticPr fontId="2"/>
  </si>
  <si>
    <t>①半角全角スペース混在の氏名を「姓」、「名」に分割</t>
    <rPh sb="1" eb="5">
      <t>ハンカクゼンカク</t>
    </rPh>
    <rPh sb="9" eb="11">
      <t>コンザイ</t>
    </rPh>
    <rPh sb="12" eb="14">
      <t>シメイ</t>
    </rPh>
    <rPh sb="16" eb="17">
      <t>セイ</t>
    </rPh>
    <rPh sb="20" eb="21">
      <t>メイ</t>
    </rPh>
    <rPh sb="23" eb="25">
      <t>ブンカツ</t>
    </rPh>
    <phoneticPr fontId="2"/>
  </si>
  <si>
    <t>②入力形式ばらばらの電話番号の、半角全角スペース及びハイフンを一度取り除き、電話番号の桁数(10桁、11桁)に応じてハイフンを再付与</t>
    <rPh sb="1" eb="5">
      <t>ニュウリョクケイシキ</t>
    </rPh>
    <rPh sb="10" eb="14">
      <t>デンワバンゴウ</t>
    </rPh>
    <rPh sb="16" eb="20">
      <t>ハンカクゼンカク</t>
    </rPh>
    <rPh sb="24" eb="25">
      <t>オヨ</t>
    </rPh>
    <rPh sb="31" eb="33">
      <t>イチド</t>
    </rPh>
    <rPh sb="33" eb="34">
      <t>ト</t>
    </rPh>
    <rPh sb="35" eb="36">
      <t>ノゾ</t>
    </rPh>
    <rPh sb="38" eb="42">
      <t>デンワバンゴウ</t>
    </rPh>
    <rPh sb="43" eb="45">
      <t>ケタスウ</t>
    </rPh>
    <rPh sb="48" eb="49">
      <t>ケタ</t>
    </rPh>
    <rPh sb="52" eb="53">
      <t>ケタ</t>
    </rPh>
    <rPh sb="55" eb="56">
      <t>オウ</t>
    </rPh>
    <rPh sb="63" eb="64">
      <t>サイ</t>
    </rPh>
    <rPh sb="64" eb="66">
      <t>フヨ</t>
    </rPh>
    <phoneticPr fontId="2"/>
  </si>
  <si>
    <t>③入力形式ばらばらの郵便番号の、半角全角スペース及びハイフンを一度取り除き、郵便番号の形式(XXX-XXXX)に沿ってハイフンを再付与</t>
    <rPh sb="1" eb="5">
      <t>ニュウリョクケイシキ</t>
    </rPh>
    <rPh sb="10" eb="14">
      <t>ユウビンバンゴウ</t>
    </rPh>
    <rPh sb="16" eb="20">
      <t>ハンカクゼンカク</t>
    </rPh>
    <rPh sb="24" eb="25">
      <t>オヨ</t>
    </rPh>
    <rPh sb="31" eb="33">
      <t>イチド</t>
    </rPh>
    <rPh sb="33" eb="34">
      <t>ト</t>
    </rPh>
    <rPh sb="35" eb="36">
      <t>ノゾ</t>
    </rPh>
    <rPh sb="38" eb="42">
      <t>ユウビンバンゴウ</t>
    </rPh>
    <rPh sb="43" eb="45">
      <t>ケイシキ</t>
    </rPh>
    <rPh sb="56" eb="57">
      <t>ソ</t>
    </rPh>
    <rPh sb="64" eb="65">
      <t>サイ</t>
    </rPh>
    <rPh sb="65" eb="67">
      <t>フヨ</t>
    </rPh>
    <phoneticPr fontId="2"/>
  </si>
  <si>
    <t>④購入金額に応じた会員ランク欄を追加</t>
    <rPh sb="1" eb="5">
      <t>コウニュウキンガク</t>
    </rPh>
    <rPh sb="6" eb="7">
      <t>オウ</t>
    </rPh>
    <rPh sb="9" eb="11">
      <t>カイイン</t>
    </rPh>
    <rPh sb="14" eb="15">
      <t>ラン</t>
    </rPh>
    <rPh sb="16" eb="18">
      <t>ツイカ</t>
    </rPh>
    <phoneticPr fontId="2"/>
  </si>
  <si>
    <t>⑤会員区分Aの合計購入金額欄を追加</t>
    <rPh sb="1" eb="3">
      <t>カイイン</t>
    </rPh>
    <rPh sb="3" eb="5">
      <t>クブン</t>
    </rPh>
    <rPh sb="7" eb="9">
      <t>ゴウケイ</t>
    </rPh>
    <rPh sb="9" eb="14">
      <t>コウニュウキンガクラン</t>
    </rPh>
    <rPh sb="15" eb="17">
      <t>ツイカ</t>
    </rPh>
    <phoneticPr fontId="2"/>
  </si>
  <si>
    <t>⑥会員ランクVIPの人数欄を追加</t>
    <rPh sb="1" eb="3">
      <t>カイイン</t>
    </rPh>
    <rPh sb="10" eb="13">
      <t>ニンズウラン</t>
    </rPh>
    <rPh sb="14" eb="16">
      <t>ツイカ</t>
    </rPh>
    <phoneticPr fontId="2"/>
  </si>
  <si>
    <t>実施したこと</t>
    <rPh sb="0" eb="2">
      <t>ジッシ</t>
    </rPh>
    <phoneticPr fontId="2"/>
  </si>
  <si>
    <t>・・・関数を使い顧客データを整形した箇所</t>
    <rPh sb="3" eb="5">
      <t>カンスウ</t>
    </rPh>
    <rPh sb="6" eb="7">
      <t>ツカ</t>
    </rPh>
    <rPh sb="8" eb="10">
      <t>コキャク</t>
    </rPh>
    <rPh sb="14" eb="16">
      <t>セイケイ</t>
    </rPh>
    <rPh sb="18" eb="20">
      <t>カショ</t>
    </rPh>
    <phoneticPr fontId="2"/>
  </si>
  <si>
    <t>Excel関数（IF、ISERROR、SUMIF、COUNTIF、LEFT、MID、RIGHT、FIND、LEN）を使用した顧客データ整形・名簿管理を実施</t>
    <phoneticPr fontId="2"/>
  </si>
  <si>
    <t>作成時間</t>
    <rPh sb="0" eb="4">
      <t>サクセイジカン</t>
    </rPh>
    <phoneticPr fontId="2"/>
  </si>
  <si>
    <t>28分</t>
    <rPh sb="2" eb="3">
      <t>フン</t>
    </rPh>
    <phoneticPr fontId="2"/>
  </si>
  <si>
    <t>高橋 テスト</t>
    <phoneticPr fontId="2"/>
  </si>
  <si>
    <t>検証花子</t>
    <rPh sb="0" eb="2">
      <t>ケンショウ</t>
    </rPh>
    <phoneticPr fontId="2"/>
  </si>
  <si>
    <t>山田　テス</t>
    <phoneticPr fontId="2"/>
  </si>
  <si>
    <t>鈴木プル</t>
    <phoneticPr fontId="2"/>
  </si>
  <si>
    <t>田中 サンプル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</si>
</sst>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b/>
      <sz val="11"/>
      <color theme="1"/>
      <name val="Yu Gothic"/>
      <family val="3"/>
      <charset val="128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1" fillId="0" borderId="0" xfId="0" applyFont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8"/>
  <sheetViews>
    <sheetView tabSelected="1" workbookViewId="0"/>
  </sheetViews>
  <sheetFormatPr defaultRowHeight="18"/>
  <cols>
    <col min="1" max="1" width="7" bestFit="1" customWidth="1"/>
    <col min="2" max="2" width="13.6640625" customWidth="1"/>
    <col min="3" max="3" width="14.1640625" bestFit="1" customWidth="1"/>
    <col min="4" max="4" width="9" bestFit="1" customWidth="1"/>
  </cols>
  <sheetData>
    <row r="2" spans="1:6">
      <c r="A2" t="s">
        <v>18</v>
      </c>
    </row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>
      <c r="A4" s="2" t="s">
        <v>6</v>
      </c>
      <c r="B4" s="2" t="s">
        <v>42</v>
      </c>
      <c r="C4" s="2">
        <v>9012345678</v>
      </c>
      <c r="D4" s="2">
        <v>9300001</v>
      </c>
      <c r="E4" s="2">
        <v>12000</v>
      </c>
      <c r="F4" s="2" t="s">
        <v>7</v>
      </c>
    </row>
    <row r="5" spans="1:6">
      <c r="A5" s="2" t="s">
        <v>8</v>
      </c>
      <c r="B5" s="2" t="s">
        <v>39</v>
      </c>
      <c r="C5" s="2" t="s">
        <v>9</v>
      </c>
      <c r="D5" s="2" t="s">
        <v>10</v>
      </c>
      <c r="E5" s="2">
        <v>8500</v>
      </c>
      <c r="F5" s="2" t="s">
        <v>11</v>
      </c>
    </row>
    <row r="6" spans="1:6">
      <c r="A6" s="2" t="s">
        <v>12</v>
      </c>
      <c r="B6" s="2" t="s">
        <v>40</v>
      </c>
      <c r="C6" s="2">
        <v>7033334444</v>
      </c>
      <c r="D6" s="2">
        <v>9300003</v>
      </c>
      <c r="E6" s="2">
        <v>15000</v>
      </c>
      <c r="F6" s="2" t="s">
        <v>7</v>
      </c>
    </row>
    <row r="7" spans="1:6">
      <c r="A7" s="2" t="s">
        <v>13</v>
      </c>
      <c r="B7" s="2" t="s">
        <v>41</v>
      </c>
      <c r="C7" s="2" t="s">
        <v>14</v>
      </c>
      <c r="D7" s="2">
        <v>9300004</v>
      </c>
      <c r="E7" s="2">
        <v>5000</v>
      </c>
      <c r="F7" s="2" t="s">
        <v>15</v>
      </c>
    </row>
    <row r="8" spans="1:6">
      <c r="A8" s="2" t="s">
        <v>16</v>
      </c>
      <c r="B8" s="2" t="s">
        <v>38</v>
      </c>
      <c r="C8" s="2">
        <v>8077778888</v>
      </c>
      <c r="D8" s="2" t="s">
        <v>17</v>
      </c>
      <c r="E8" s="2">
        <v>23000</v>
      </c>
      <c r="F8" s="2" t="s">
        <v>7</v>
      </c>
    </row>
  </sheetData>
  <sheetProtection algorithmName="SHA-512" hashValue="vSrZffYV747aPNrhAy6IPCNOAnqADPIhOeujVG8XBXI0fCNC2oXRHPTss+Bt9e8VDEyDpCG2verVgFsRf2hMiw==" saltValue="5wgafhZhaqOtCUmC/XdTBA==" spinCount="100000" sheet="1" objects="1" scenarios="1"/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A7B7-AA6F-40BA-8E52-D7F2E8F686A4}">
  <dimension ref="A2:K28"/>
  <sheetViews>
    <sheetView workbookViewId="0"/>
  </sheetViews>
  <sheetFormatPr defaultRowHeight="18"/>
  <cols>
    <col min="1" max="1" width="10.25" bestFit="1" customWidth="1"/>
    <col min="2" max="4" width="12.25" customWidth="1"/>
    <col min="5" max="6" width="17.08203125" customWidth="1"/>
    <col min="7" max="8" width="19.5" customWidth="1"/>
    <col min="9" max="9" width="19.25" customWidth="1"/>
    <col min="10" max="10" width="25.25" customWidth="1"/>
    <col min="11" max="11" width="20.83203125" customWidth="1"/>
    <col min="12" max="12" width="14.08203125" customWidth="1"/>
    <col min="14" max="14" width="21.6640625" customWidth="1"/>
    <col min="15" max="15" width="10.33203125" customWidth="1"/>
    <col min="16" max="16" width="22" customWidth="1"/>
  </cols>
  <sheetData>
    <row r="2" spans="1:11">
      <c r="J2" s="6"/>
      <c r="K2" t="s">
        <v>34</v>
      </c>
    </row>
    <row r="3" spans="1:11">
      <c r="A3" t="s">
        <v>18</v>
      </c>
    </row>
    <row r="4" spans="1:11">
      <c r="A4" s="1" t="s">
        <v>0</v>
      </c>
      <c r="B4" s="1" t="s">
        <v>1</v>
      </c>
      <c r="C4" s="3" t="s">
        <v>19</v>
      </c>
      <c r="D4" s="3" t="s">
        <v>20</v>
      </c>
      <c r="E4" s="1" t="s">
        <v>24</v>
      </c>
      <c r="F4" s="3" t="s">
        <v>2</v>
      </c>
      <c r="G4" s="1" t="s">
        <v>21</v>
      </c>
      <c r="H4" s="3" t="s">
        <v>3</v>
      </c>
      <c r="I4" s="1" t="s">
        <v>4</v>
      </c>
      <c r="J4" s="1" t="s">
        <v>5</v>
      </c>
      <c r="K4" s="3" t="s">
        <v>22</v>
      </c>
    </row>
    <row r="5" spans="1:11">
      <c r="A5" s="2" t="s">
        <v>6</v>
      </c>
      <c r="B5" s="2" t="s">
        <v>42</v>
      </c>
      <c r="C5" s="4" t="str">
        <f>IF(ISERROR(FIND(" ",B5)),IF(ISERROR(FIND("　",B5)),LEFT(B5,2),LEFT(B5,FIND("　",B5)-1)),LEFT(B5,FIND(" ",B5)-1))</f>
        <v>田中</v>
      </c>
      <c r="D5" s="4" t="str">
        <f>IF(ISERROR(FIND(" ",B5)),IF(ISERROR(FIND("　",B5)),MID(B5,3,2),MID(B5,FIND("　",B5)+1,LEN(B5))),MID(B5,FIND(" ",B5)+1,LEN(B5)))</f>
        <v>サンプル</v>
      </c>
      <c r="E5" s="2" t="str">
        <f>SUBSTITUTE(TRIM(整形前!C4),"-","")</f>
        <v>9012345678</v>
      </c>
      <c r="F5" s="4" t="str">
        <f>IF(LEN(E5)=10,LEFT(E5,2)&amp;"-"&amp;MID(E5,3,4)&amp;"-"&amp;RIGHT(E5,4),LEFT(E5,3)&amp;"-"&amp;MID(E5,4,4)&amp;"-"&amp;RIGHT(E5,4))</f>
        <v>90-1234-5678</v>
      </c>
      <c r="G5" s="2" t="str">
        <f>SUBSTITUTE(TRIM(整形前!D4),"-","")</f>
        <v>9300001</v>
      </c>
      <c r="H5" s="4" t="str">
        <f>LEFT(G5,3)&amp;"-"&amp;RIGHT(G5,4)</f>
        <v>930-0001</v>
      </c>
      <c r="I5" s="2">
        <v>12000</v>
      </c>
      <c r="J5" s="2" t="s">
        <v>7</v>
      </c>
      <c r="K5" s="5" t="str">
        <f>IF(I5&gt;=20000,"VIP",IF(I5&gt;=10000,"優良","通常"))</f>
        <v>優良</v>
      </c>
    </row>
    <row r="6" spans="1:11">
      <c r="A6" s="2" t="s">
        <v>8</v>
      </c>
      <c r="B6" s="2" t="s">
        <v>39</v>
      </c>
      <c r="C6" s="4" t="str">
        <f t="shared" ref="C6:C9" si="0">IF(ISERROR(FIND(" ",B6)),IF(ISERROR(FIND("　",B6)),LEFT(B6,2),LEFT(B6,FIND("　",B6)-1)),LEFT(B6,FIND(" ",B6)-1))</f>
        <v>検証</v>
      </c>
      <c r="D6" s="4" t="str">
        <f t="shared" ref="D6:D9" si="1">IF(ISERROR(FIND(" ",B6)),IF(ISERROR(FIND("　",B6)),MID(B6,3,2),MID(B6,FIND("　",B6)+1,LEN(B6))),MID(B6,FIND(" ",B6)+1,LEN(B6)))</f>
        <v>花子</v>
      </c>
      <c r="E6" s="2" t="str">
        <f>SUBSTITUTE(TRIM(整形前!C5),"-","")</f>
        <v>08011112222</v>
      </c>
      <c r="F6" s="4" t="str">
        <f t="shared" ref="F6:F9" si="2">IF(LEN(E6)=10,LEFT(E6,2)&amp;"-"&amp;MID(E6,3,4)&amp;"-"&amp;RIGHT(E6,4),LEFT(E6,3)&amp;"-"&amp;MID(E6,4,4)&amp;"-"&amp;RIGHT(E6,4))</f>
        <v>080-1111-2222</v>
      </c>
      <c r="G6" s="2" t="str">
        <f>SUBSTITUTE(TRIM(整形前!D5),"-","")</f>
        <v>9300002</v>
      </c>
      <c r="H6" s="4" t="str">
        <f t="shared" ref="H6:H9" si="3">LEFT(G6,3)&amp;"-"&amp;RIGHT(G6,4)</f>
        <v>930-0002</v>
      </c>
      <c r="I6" s="2">
        <v>8500</v>
      </c>
      <c r="J6" s="2" t="s">
        <v>11</v>
      </c>
      <c r="K6" s="5" t="str">
        <f t="shared" ref="K6:K9" si="4">IF(I6&gt;=20000,"VIP",IF(I6&gt;=10000,"優良","通常"))</f>
        <v>通常</v>
      </c>
    </row>
    <row r="7" spans="1:11">
      <c r="A7" s="2" t="s">
        <v>12</v>
      </c>
      <c r="B7" s="2" t="s">
        <v>40</v>
      </c>
      <c r="C7" s="4" t="str">
        <f t="shared" si="0"/>
        <v>山田</v>
      </c>
      <c r="D7" s="4" t="str">
        <f t="shared" si="1"/>
        <v>テス</v>
      </c>
      <c r="E7" s="2" t="str">
        <f>SUBSTITUTE(TRIM(整形前!C6),"-","")</f>
        <v>7033334444</v>
      </c>
      <c r="F7" s="4" t="str">
        <f t="shared" si="2"/>
        <v>70-3333-4444</v>
      </c>
      <c r="G7" s="2" t="str">
        <f>SUBSTITUTE(TRIM(整形前!D6),"-","")</f>
        <v>9300003</v>
      </c>
      <c r="H7" s="4" t="str">
        <f t="shared" si="3"/>
        <v>930-0003</v>
      </c>
      <c r="I7" s="2">
        <v>15000</v>
      </c>
      <c r="J7" s="2" t="s">
        <v>7</v>
      </c>
      <c r="K7" s="5" t="str">
        <f t="shared" si="4"/>
        <v>優良</v>
      </c>
    </row>
    <row r="8" spans="1:11">
      <c r="A8" s="2" t="s">
        <v>13</v>
      </c>
      <c r="B8" s="2" t="s">
        <v>41</v>
      </c>
      <c r="C8" s="4" t="str">
        <f t="shared" si="0"/>
        <v>鈴木</v>
      </c>
      <c r="D8" s="4" t="str">
        <f t="shared" si="1"/>
        <v>プル</v>
      </c>
      <c r="E8" s="2" t="str">
        <f>SUBSTITUTE(TRIM(整形前!C7),"-","")</f>
        <v>09055556666</v>
      </c>
      <c r="F8" s="4" t="str">
        <f t="shared" si="2"/>
        <v>090-5555-6666</v>
      </c>
      <c r="G8" s="2" t="str">
        <f>SUBSTITUTE(TRIM(整形前!D7),"-","")</f>
        <v>9300004</v>
      </c>
      <c r="H8" s="4" t="str">
        <f t="shared" si="3"/>
        <v>930-0004</v>
      </c>
      <c r="I8" s="2">
        <v>5000</v>
      </c>
      <c r="J8" s="2" t="s">
        <v>15</v>
      </c>
      <c r="K8" s="5" t="str">
        <f t="shared" si="4"/>
        <v>通常</v>
      </c>
    </row>
    <row r="9" spans="1:11">
      <c r="A9" s="2" t="s">
        <v>16</v>
      </c>
      <c r="B9" s="2" t="s">
        <v>38</v>
      </c>
      <c r="C9" s="4" t="str">
        <f t="shared" si="0"/>
        <v>高橋</v>
      </c>
      <c r="D9" s="4" t="str">
        <f t="shared" si="1"/>
        <v>テスト</v>
      </c>
      <c r="E9" s="2" t="str">
        <f>SUBSTITUTE(TRIM(整形前!C8),"-","")</f>
        <v>8077778888</v>
      </c>
      <c r="F9" s="4" t="str">
        <f t="shared" si="2"/>
        <v>80-7777-8888</v>
      </c>
      <c r="G9" s="2" t="str">
        <f>SUBSTITUTE(TRIM(整形前!D8),"-","")</f>
        <v>9300005</v>
      </c>
      <c r="H9" s="4" t="str">
        <f t="shared" si="3"/>
        <v>930-0005</v>
      </c>
      <c r="I9" s="2">
        <v>23000</v>
      </c>
      <c r="J9" s="2" t="s">
        <v>7</v>
      </c>
      <c r="K9" s="5" t="str">
        <f t="shared" si="4"/>
        <v>VIP</v>
      </c>
    </row>
    <row r="11" spans="1:11">
      <c r="J11" s="8" t="s">
        <v>25</v>
      </c>
      <c r="K11" s="5">
        <f>SUMIF($J$5:$J$9,"A",$I$5:$I$9)</f>
        <v>50000</v>
      </c>
    </row>
    <row r="12" spans="1:11">
      <c r="J12" s="8" t="s">
        <v>23</v>
      </c>
      <c r="K12" s="5">
        <f>COUNTIF($K$5:$K$9,"VIP")</f>
        <v>1</v>
      </c>
    </row>
    <row r="13" spans="1:11">
      <c r="J13" s="7"/>
    </row>
    <row r="15" spans="1:11">
      <c r="A15" t="s">
        <v>26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2" spans="1:1">
      <c r="A22" t="s">
        <v>32</v>
      </c>
    </row>
    <row r="24" spans="1:1">
      <c r="A24" t="s">
        <v>33</v>
      </c>
    </row>
    <row r="25" spans="1:1">
      <c r="A25" t="s">
        <v>35</v>
      </c>
    </row>
    <row r="27" spans="1:1">
      <c r="A27" t="s">
        <v>36</v>
      </c>
    </row>
    <row r="28" spans="1:1">
      <c r="A28" t="s">
        <v>37</v>
      </c>
    </row>
  </sheetData>
  <sheetProtection algorithmName="SHA-512" hashValue="NkcBR3vlb1slKTv8WEc52HBVBqgNa29kmiuQFy17XdqhvEWpxSSEzKa7Vi5ONvInoq1uuvwglXid1vI6yyg0KA==" saltValue="dyFtgKgCBgR1O1yGlQZJ9Q==" spinCount="100000" sheet="1" objects="1" scenarios="1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整形前</vt:lpstr>
      <vt:lpstr>整形後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石田 哲也</dc:creator>
  <cp:lastModifiedBy>哲也 石田</cp:lastModifiedBy>
  <dcterms:created xsi:type="dcterms:W3CDTF">2015-06-05T18:19:34Z</dcterms:created>
  <dcterms:modified xsi:type="dcterms:W3CDTF">2026-05-11T15:01:24Z</dcterms:modified>
</cp:coreProperties>
</file>